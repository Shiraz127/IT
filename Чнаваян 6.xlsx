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" sheetId="1" state="visible" r:id="rId1"/>
    <sheet xmlns:r="http://schemas.openxmlformats.org/officeDocument/2006/relationships" name="Формулы" sheetId="2" state="visible" r:id="rId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1" fontId="0" fillId="0" borderId="1" applyAlignment="1" pivotButton="0" quotePrefix="0" xfId="0">
      <alignment horizontal="center"/>
    </xf>
    <xf numFmtId="0" fontId="2" fillId="0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0" fontId="2" fillId="0" borderId="1" pivotButton="0" quotePrefix="0" xfId="0"/>
    <xf numFmtId="3" fontId="2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8" customWidth="1" min="4" max="4"/>
    <col width="16" customWidth="1" min="5" max="5"/>
    <col width="16" customWidth="1" min="6" max="6"/>
    <col width="24" customWidth="1" min="7" max="7"/>
    <col width="16" customWidth="1" min="8" max="8"/>
    <col width="12" customWidth="1" min="9" max="9"/>
  </cols>
  <sheetData>
    <row r="1" ht="32" customHeight="1">
      <c r="A1" s="1" t="inlineStr">
        <is>
          <t>№</t>
        </is>
      </c>
      <c r="B1" s="1" t="inlineStr">
        <is>
          <t>ФИО студента</t>
        </is>
      </c>
      <c r="C1" s="1" t="inlineStr">
        <is>
          <t>Балл 1 (тест)</t>
        </is>
      </c>
      <c r="D1" s="1" t="inlineStr">
        <is>
          <t>Балл 2 (практика)</t>
        </is>
      </c>
      <c r="E1" s="1" t="inlineStr">
        <is>
          <t>Балл 3 (проект)</t>
        </is>
      </c>
      <c r="F1" s="1" t="inlineStr">
        <is>
          <t>Сумма баллов</t>
        </is>
      </c>
      <c r="G1" s="1" t="inlineStr">
        <is>
          <t>Средний балл</t>
        </is>
      </c>
      <c r="H1" s="1" t="inlineStr">
        <is>
          <t>Оценка</t>
        </is>
      </c>
      <c r="I1" s="1" t="inlineStr">
        <is>
          <t>Ранг</t>
        </is>
      </c>
    </row>
    <row r="2">
      <c r="A2" s="2" t="n">
        <v>1</v>
      </c>
      <c r="B2" s="3" t="inlineStr">
        <is>
          <t>Иванов И.И.</t>
        </is>
      </c>
      <c r="C2" s="4" t="n">
        <v>85</v>
      </c>
      <c r="D2" s="4" t="n">
        <v>78</v>
      </c>
      <c r="E2" s="4" t="n">
        <v>92</v>
      </c>
      <c r="F2" s="4">
        <f>SUM(C2:E2)</f>
        <v/>
      </c>
      <c r="G2" s="4">
        <f>AVERAGE(C2:E2)</f>
        <v/>
      </c>
      <c r="H2" s="2">
        <f>IF(G2&gt;=90,5,IF(G2&gt;=75,4,IF(G2&gt;=60,3,2)))</f>
        <v/>
      </c>
      <c r="I2" s="2">
        <f>RANK(F2,$F$2:$F$16,0)</f>
        <v/>
      </c>
    </row>
    <row r="3">
      <c r="A3" s="2" t="n">
        <v>2</v>
      </c>
      <c r="B3" s="3" t="inlineStr">
        <is>
          <t>Петров П.П.</t>
        </is>
      </c>
      <c r="C3" s="4" t="n">
        <v>72</v>
      </c>
      <c r="D3" s="4" t="n">
        <v>65</v>
      </c>
      <c r="E3" s="4" t="n">
        <v>80</v>
      </c>
      <c r="F3" s="4">
        <f>SUM(C3:E3)</f>
        <v/>
      </c>
      <c r="G3" s="4">
        <f>AVERAGE(C3:E3)</f>
        <v/>
      </c>
      <c r="H3" s="2">
        <f>IF(G3&gt;=90,5,IF(G3&gt;=75,4,IF(G3&gt;=60,3,2)))</f>
        <v/>
      </c>
      <c r="I3" s="2">
        <f>RANK(F3,$F$2:$F$16,0)</f>
        <v/>
      </c>
    </row>
    <row r="4">
      <c r="A4" s="2" t="n">
        <v>3</v>
      </c>
      <c r="B4" s="3" t="inlineStr">
        <is>
          <t>Сидорова С.С.</t>
        </is>
      </c>
      <c r="C4" s="4" t="n">
        <v>95</v>
      </c>
      <c r="D4" s="4" t="n">
        <v>88</v>
      </c>
      <c r="E4" s="4" t="n">
        <v>98</v>
      </c>
      <c r="F4" s="4">
        <f>SUM(C4:E4)</f>
        <v/>
      </c>
      <c r="G4" s="4">
        <f>AVERAGE(C4:E4)</f>
        <v/>
      </c>
      <c r="H4" s="2">
        <f>IF(G4&gt;=90,5,IF(G4&gt;=75,4,IF(G4&gt;=60,3,2)))</f>
        <v/>
      </c>
      <c r="I4" s="2">
        <f>RANK(F4,$F$2:$F$16,0)</f>
        <v/>
      </c>
    </row>
    <row r="5">
      <c r="A5" s="2" t="n">
        <v>4</v>
      </c>
      <c r="B5" s="3" t="inlineStr">
        <is>
          <t>Кузнецов К.К.</t>
        </is>
      </c>
      <c r="C5" s="4" t="n">
        <v>65</v>
      </c>
      <c r="D5" s="4" t="n">
        <v>55</v>
      </c>
      <c r="E5" s="4" t="n">
        <v>70</v>
      </c>
      <c r="F5" s="4">
        <f>SUM(C5:E5)</f>
        <v/>
      </c>
      <c r="G5" s="4">
        <f>AVERAGE(C5:E5)</f>
        <v/>
      </c>
      <c r="H5" s="2">
        <f>IF(G5&gt;=90,5,IF(G5&gt;=75,4,IF(G5&gt;=60,3,2)))</f>
        <v/>
      </c>
      <c r="I5" s="2">
        <f>RANK(F5,$F$2:$F$16,0)</f>
        <v/>
      </c>
    </row>
    <row r="6">
      <c r="A6" s="2" t="n">
        <v>5</v>
      </c>
      <c r="B6" s="3" t="inlineStr">
        <is>
          <t>Смирнова С.С.</t>
        </is>
      </c>
      <c r="C6" s="4" t="n">
        <v>78</v>
      </c>
      <c r="D6" s="4" t="n">
        <v>82</v>
      </c>
      <c r="E6" s="4" t="n">
        <v>85</v>
      </c>
      <c r="F6" s="4">
        <f>SUM(C6:E6)</f>
        <v/>
      </c>
      <c r="G6" s="4">
        <f>AVERAGE(C6:E6)</f>
        <v/>
      </c>
      <c r="H6" s="2">
        <f>IF(G6&gt;=90,5,IF(G6&gt;=75,4,IF(G6&gt;=60,3,2)))</f>
        <v/>
      </c>
      <c r="I6" s="2">
        <f>RANK(F6,$F$2:$F$16,0)</f>
        <v/>
      </c>
    </row>
    <row r="7">
      <c r="A7" s="2" t="n">
        <v>6</v>
      </c>
      <c r="B7" s="3" t="inlineStr">
        <is>
          <t>Волков В.В.</t>
        </is>
      </c>
      <c r="C7" s="4" t="n">
        <v>88</v>
      </c>
      <c r="D7" s="4" t="n">
        <v>90</v>
      </c>
      <c r="E7" s="4" t="n">
        <v>95</v>
      </c>
      <c r="F7" s="4">
        <f>SUM(C7:E7)</f>
        <v/>
      </c>
      <c r="G7" s="4">
        <f>AVERAGE(C7:E7)</f>
        <v/>
      </c>
      <c r="H7" s="2">
        <f>IF(G7&gt;=90,5,IF(G7&gt;=75,4,IF(G7&gt;=60,3,2)))</f>
        <v/>
      </c>
      <c r="I7" s="2">
        <f>RANK(F7,$F$2:$F$16,0)</f>
        <v/>
      </c>
    </row>
    <row r="8">
      <c r="A8" s="2" t="n">
        <v>7</v>
      </c>
      <c r="B8" s="3" t="inlineStr">
        <is>
          <t>Морозова М.М.</t>
        </is>
      </c>
      <c r="C8" s="4" t="n">
        <v>65</v>
      </c>
      <c r="D8" s="4" t="n">
        <v>70</v>
      </c>
      <c r="E8" s="4" t="n">
        <v>68</v>
      </c>
      <c r="F8" s="4">
        <f>SUM(C8:E8)</f>
        <v/>
      </c>
      <c r="G8" s="4">
        <f>AVERAGE(C8:E8)</f>
        <v/>
      </c>
      <c r="H8" s="2">
        <f>IF(G8&gt;=90,5,IF(G8&gt;=75,4,IF(G8&gt;=60,3,2)))</f>
        <v/>
      </c>
      <c r="I8" s="2">
        <f>RANK(F8,$F$2:$F$16,0)</f>
        <v/>
      </c>
    </row>
    <row r="9">
      <c r="A9" s="2" t="n">
        <v>8</v>
      </c>
      <c r="B9" s="3" t="inlineStr">
        <is>
          <t>Новиков Н.Н.</t>
        </is>
      </c>
      <c r="C9" s="4" t="n">
        <v>92</v>
      </c>
      <c r="D9" s="4" t="n">
        <v>85</v>
      </c>
      <c r="E9" s="4" t="n">
        <v>88</v>
      </c>
      <c r="F9" s="4">
        <f>SUM(C9:E9)</f>
        <v/>
      </c>
      <c r="G9" s="4">
        <f>AVERAGE(C9:E9)</f>
        <v/>
      </c>
      <c r="H9" s="2">
        <f>IF(G9&gt;=90,5,IF(G9&gt;=75,4,IF(G9&gt;=60,3,2)))</f>
        <v/>
      </c>
      <c r="I9" s="2">
        <f>RANK(F9,$F$2:$F$16,0)</f>
        <v/>
      </c>
    </row>
    <row r="10">
      <c r="A10" s="2" t="n">
        <v>9</v>
      </c>
      <c r="B10" s="3" t="inlineStr">
        <is>
          <t>Фёдорова Ф.Ф.</t>
        </is>
      </c>
      <c r="C10" s="4" t="n">
        <v>55</v>
      </c>
      <c r="D10" s="4" t="n">
        <v>60</v>
      </c>
      <c r="E10" s="4" t="n">
        <v>58</v>
      </c>
      <c r="F10" s="4">
        <f>SUM(C10:E10)</f>
        <v/>
      </c>
      <c r="G10" s="4">
        <f>AVERAGE(C10:E10)</f>
        <v/>
      </c>
      <c r="H10" s="2">
        <f>IF(G10&gt;=90,5,IF(G10&gt;=75,4,IF(G10&gt;=60,3,2)))</f>
        <v/>
      </c>
      <c r="I10" s="2">
        <f>RANK(F10,$F$2:$F$16,0)</f>
        <v/>
      </c>
    </row>
    <row r="11">
      <c r="A11" s="2" t="n">
        <v>10</v>
      </c>
      <c r="B11" s="3" t="inlineStr">
        <is>
          <t>Егоров Е.Е.</t>
        </is>
      </c>
      <c r="C11" s="4" t="n">
        <v>80</v>
      </c>
      <c r="D11" s="4" t="n">
        <v>75</v>
      </c>
      <c r="E11" s="4" t="n">
        <v>82</v>
      </c>
      <c r="F11" s="4">
        <f>SUM(C11:E11)</f>
        <v/>
      </c>
      <c r="G11" s="4">
        <f>AVERAGE(C11:E11)</f>
        <v/>
      </c>
      <c r="H11" s="2">
        <f>IF(G11&gt;=90,5,IF(G11&gt;=75,4,IF(G11&gt;=60,3,2)))</f>
        <v/>
      </c>
      <c r="I11" s="2">
        <f>RANK(F11,$F$2:$F$16,0)</f>
        <v/>
      </c>
    </row>
    <row r="12">
      <c r="A12" s="2" t="n">
        <v>11</v>
      </c>
      <c r="B12" s="3" t="inlineStr">
        <is>
          <t>Павлова П.П.</t>
        </is>
      </c>
      <c r="C12" s="4" t="n">
        <v>70</v>
      </c>
      <c r="D12" s="4" t="n">
        <v>68</v>
      </c>
      <c r="E12" s="4" t="n">
        <v>72</v>
      </c>
      <c r="F12" s="4">
        <f>SUM(C12:E12)</f>
        <v/>
      </c>
      <c r="G12" s="4">
        <f>AVERAGE(C12:E12)</f>
        <v/>
      </c>
      <c r="H12" s="2">
        <f>IF(G12&gt;=90,5,IF(G12&gt;=75,4,IF(G12&gt;=60,3,2)))</f>
        <v/>
      </c>
      <c r="I12" s="2">
        <f>RANK(F12,$F$2:$F$16,0)</f>
        <v/>
      </c>
    </row>
    <row r="13">
      <c r="A13" s="2" t="n">
        <v>12</v>
      </c>
      <c r="B13" s="3" t="inlineStr">
        <is>
          <t>Соколов С.С.</t>
        </is>
      </c>
      <c r="C13" s="4" t="n">
        <v>90</v>
      </c>
      <c r="D13" s="4" t="n">
        <v>92</v>
      </c>
      <c r="E13" s="4" t="n">
        <v>94</v>
      </c>
      <c r="F13" s="4">
        <f>SUM(C13:E13)</f>
        <v/>
      </c>
      <c r="G13" s="4">
        <f>AVERAGE(C13:E13)</f>
        <v/>
      </c>
      <c r="H13" s="2">
        <f>IF(G13&gt;=90,5,IF(G13&gt;=75,4,IF(G13&gt;=60,3,2)))</f>
        <v/>
      </c>
      <c r="I13" s="2">
        <f>RANK(F13,$F$2:$F$16,0)</f>
        <v/>
      </c>
    </row>
    <row r="14">
      <c r="A14" s="2" t="n">
        <v>13</v>
      </c>
      <c r="B14" s="3" t="inlineStr">
        <is>
          <t>Лебедева Л.Л.</t>
        </is>
      </c>
      <c r="C14" s="4" t="n">
        <v>75</v>
      </c>
      <c r="D14" s="4" t="n">
        <v>78</v>
      </c>
      <c r="E14" s="4" t="n">
        <v>80</v>
      </c>
      <c r="F14" s="4">
        <f>SUM(C14:E14)</f>
        <v/>
      </c>
      <c r="G14" s="4">
        <f>AVERAGE(C14:E14)</f>
        <v/>
      </c>
      <c r="H14" s="2">
        <f>IF(G14&gt;=90,5,IF(G14&gt;=75,4,IF(G14&gt;=60,3,2)))</f>
        <v/>
      </c>
      <c r="I14" s="2">
        <f>RANK(F14,$F$2:$F$16,0)</f>
        <v/>
      </c>
    </row>
    <row r="15">
      <c r="A15" s="2" t="n">
        <v>14</v>
      </c>
      <c r="B15" s="3" t="inlineStr">
        <is>
          <t>Козлов К.К.</t>
        </is>
      </c>
      <c r="C15" s="4" t="n">
        <v>62</v>
      </c>
      <c r="D15" s="4" t="n">
        <v>58</v>
      </c>
      <c r="E15" s="4" t="n">
        <v>65</v>
      </c>
      <c r="F15" s="4">
        <f>SUM(C15:E15)</f>
        <v/>
      </c>
      <c r="G15" s="4">
        <f>AVERAGE(C15:E15)</f>
        <v/>
      </c>
      <c r="H15" s="2">
        <f>IF(G15&gt;=90,5,IF(G15&gt;=75,4,IF(G15&gt;=60,3,2)))</f>
        <v/>
      </c>
      <c r="I15" s="2">
        <f>RANK(F15,$F$2:$F$16,0)</f>
        <v/>
      </c>
    </row>
    <row r="16">
      <c r="A16" s="2" t="n">
        <v>15</v>
      </c>
      <c r="B16" s="3" t="inlineStr">
        <is>
          <t>Степанова С.С.</t>
        </is>
      </c>
      <c r="C16" s="4" t="n">
        <v>98</v>
      </c>
      <c r="D16" s="4" t="n">
        <v>95</v>
      </c>
      <c r="E16" s="4" t="n">
        <v>100</v>
      </c>
      <c r="F16" s="4">
        <f>SUM(C16:E16)</f>
        <v/>
      </c>
      <c r="G16" s="4">
        <f>AVERAGE(C16:E16)</f>
        <v/>
      </c>
      <c r="H16" s="2">
        <f>IF(G16&gt;=90,5,IF(G16&gt;=75,4,IF(G16&gt;=60,3,2)))</f>
        <v/>
      </c>
      <c r="I16" s="2">
        <f>RANK(F16,$F$2:$F$16,0)</f>
        <v/>
      </c>
    </row>
    <row r="18">
      <c r="A18" s="5" t="inlineStr">
        <is>
          <t>Статистика по успеваемости</t>
        </is>
      </c>
    </row>
    <row r="19">
      <c r="A19" s="6" t="inlineStr">
        <is>
          <t>Сумма баллов</t>
        </is>
      </c>
      <c r="B19" s="6">
        <f>SUM(F2:F16)</f>
        <v/>
      </c>
    </row>
    <row r="20">
      <c r="A20" s="6" t="inlineStr">
        <is>
          <t>Средний балл</t>
        </is>
      </c>
      <c r="B20" s="6">
        <f>AVERAGE(F2:F16)</f>
        <v/>
      </c>
    </row>
    <row r="21">
      <c r="A21" s="6" t="inlineStr">
        <is>
          <t>Медиана</t>
        </is>
      </c>
      <c r="B21" s="6">
        <f>MEDIAN(F2:F16)</f>
        <v/>
      </c>
    </row>
    <row r="22">
      <c r="A22" s="6" t="inlineStr">
        <is>
          <t>Мода</t>
        </is>
      </c>
      <c r="B22" s="6">
        <f>MODE.SNGL(F2:F16)</f>
        <v/>
      </c>
    </row>
    <row r="23">
      <c r="A23" s="6" t="inlineStr">
        <is>
          <t>Минимум</t>
        </is>
      </c>
      <c r="B23" s="6">
        <f>MIN(F2:F16)</f>
        <v/>
      </c>
    </row>
    <row r="24">
      <c r="A24" s="6" t="inlineStr">
        <is>
          <t>Максимум</t>
        </is>
      </c>
      <c r="B24" s="6">
        <f>MAX(F2:F16)</f>
        <v/>
      </c>
    </row>
    <row r="27" ht="32" customHeight="1">
      <c r="A27" s="7" t="inlineStr">
        <is>
          <t>№</t>
        </is>
      </c>
      <c r="B27" s="7" t="inlineStr">
        <is>
          <t>Товар</t>
        </is>
      </c>
      <c r="C27" s="7" t="inlineStr">
        <is>
          <t>Цена (руб.)</t>
        </is>
      </c>
      <c r="D27" s="7" t="inlineStr">
        <is>
          <t>Продано (шт.)</t>
        </is>
      </c>
      <c r="E27" s="7" t="inlineStr">
        <is>
          <t>Выручка</t>
        </is>
      </c>
      <c r="F27" s="7" t="inlineStr">
        <is>
          <t>Категория</t>
        </is>
      </c>
      <c r="G27" s="7" t="inlineStr">
        <is>
          <t>Доля в общей выручке (%)</t>
        </is>
      </c>
      <c r="H27" s="7" t="inlineStr">
        <is>
          <t>Ранг по выручке</t>
        </is>
      </c>
    </row>
    <row r="28">
      <c r="A28" s="2" t="n">
        <v>1</v>
      </c>
      <c r="B28" s="3" t="inlineStr">
        <is>
          <t>Ноутбук</t>
        </is>
      </c>
      <c r="C28" s="8" t="n">
        <v>45000</v>
      </c>
      <c r="D28" s="4" t="n">
        <v>12</v>
      </c>
      <c r="E28" s="8">
        <f>C28*D28</f>
        <v/>
      </c>
      <c r="F28" s="2">
        <f>IF(E28&gt;100000,"Топ",IF(E28&gt;50000,"Средний","Низкий"))</f>
        <v/>
      </c>
      <c r="G28" s="9">
        <f>E28/$E$43*100</f>
        <v/>
      </c>
      <c r="H28" s="2">
        <f>RANK(E28,$E$28:$E$42,0)</f>
        <v/>
      </c>
    </row>
    <row r="29">
      <c r="A29" s="2" t="n">
        <v>2</v>
      </c>
      <c r="B29" s="3" t="inlineStr">
        <is>
          <t>Монитор</t>
        </is>
      </c>
      <c r="C29" s="8" t="n">
        <v>18000</v>
      </c>
      <c r="D29" s="4" t="n">
        <v>25</v>
      </c>
      <c r="E29" s="8">
        <f>C29*D29</f>
        <v/>
      </c>
      <c r="F29" s="2">
        <f>IF(E29&gt;100000,"Топ",IF(E29&gt;50000,"Средний","Низкий"))</f>
        <v/>
      </c>
      <c r="G29" s="9">
        <f>E29/$E$43*100</f>
        <v/>
      </c>
      <c r="H29" s="2">
        <f>RANK(E29,$E$28:$E$42,0)</f>
        <v/>
      </c>
    </row>
    <row r="30">
      <c r="A30" s="2" t="n">
        <v>3</v>
      </c>
      <c r="B30" s="3" t="inlineStr">
        <is>
          <t>Клавиатура</t>
        </is>
      </c>
      <c r="C30" s="8" t="n">
        <v>1500</v>
      </c>
      <c r="D30" s="4" t="n">
        <v>60</v>
      </c>
      <c r="E30" s="8">
        <f>C30*D30</f>
        <v/>
      </c>
      <c r="F30" s="2">
        <f>IF(E30&gt;100000,"Топ",IF(E30&gt;50000,"Средний","Низкий"))</f>
        <v/>
      </c>
      <c r="G30" s="9">
        <f>E30/$E$43*100</f>
        <v/>
      </c>
      <c r="H30" s="2">
        <f>RANK(E30,$E$28:$E$42,0)</f>
        <v/>
      </c>
    </row>
    <row r="31">
      <c r="A31" s="2" t="n">
        <v>4</v>
      </c>
      <c r="B31" s="3" t="inlineStr">
        <is>
          <t>Мышь</t>
        </is>
      </c>
      <c r="C31" s="8" t="n">
        <v>800</v>
      </c>
      <c r="D31" s="4" t="n">
        <v>85</v>
      </c>
      <c r="E31" s="8">
        <f>C31*D31</f>
        <v/>
      </c>
      <c r="F31" s="2">
        <f>IF(E31&gt;100000,"Топ",IF(E31&gt;50000,"Средний","Низкий"))</f>
        <v/>
      </c>
      <c r="G31" s="9">
        <f>E31/$E$43*100</f>
        <v/>
      </c>
      <c r="H31" s="2">
        <f>RANK(E31,$E$28:$E$42,0)</f>
        <v/>
      </c>
    </row>
    <row r="32">
      <c r="A32" s="2" t="n">
        <v>5</v>
      </c>
      <c r="B32" s="3" t="inlineStr">
        <is>
          <t>Принтер</t>
        </is>
      </c>
      <c r="C32" s="8" t="n">
        <v>12000</v>
      </c>
      <c r="D32" s="4" t="n">
        <v>8</v>
      </c>
      <c r="E32" s="8">
        <f>C32*D32</f>
        <v/>
      </c>
      <c r="F32" s="2">
        <f>IF(E32&gt;100000,"Топ",IF(E32&gt;50000,"Средний","Низкий"))</f>
        <v/>
      </c>
      <c r="G32" s="9">
        <f>E32/$E$43*100</f>
        <v/>
      </c>
      <c r="H32" s="2">
        <f>RANK(E32,$E$28:$E$42,0)</f>
        <v/>
      </c>
    </row>
    <row r="33">
      <c r="A33" s="2" t="n">
        <v>6</v>
      </c>
      <c r="B33" s="3" t="inlineStr">
        <is>
          <t>Сканер</t>
        </is>
      </c>
      <c r="C33" s="8" t="n">
        <v>9000</v>
      </c>
      <c r="D33" s="4" t="n">
        <v>6</v>
      </c>
      <c r="E33" s="8">
        <f>C33*D33</f>
        <v/>
      </c>
      <c r="F33" s="2">
        <f>IF(E33&gt;100000,"Топ",IF(E33&gt;50000,"Средний","Низкий"))</f>
        <v/>
      </c>
      <c r="G33" s="9">
        <f>E33/$E$43*100</f>
        <v/>
      </c>
      <c r="H33" s="2">
        <f>RANK(E33,$E$28:$E$42,0)</f>
        <v/>
      </c>
    </row>
    <row r="34">
      <c r="A34" s="2" t="n">
        <v>7</v>
      </c>
      <c r="B34" s="3" t="inlineStr">
        <is>
          <t>Флешка 32ГБ</t>
        </is>
      </c>
      <c r="C34" s="8" t="n">
        <v>600</v>
      </c>
      <c r="D34" s="4" t="n">
        <v>120</v>
      </c>
      <c r="E34" s="8">
        <f>C34*D34</f>
        <v/>
      </c>
      <c r="F34" s="2">
        <f>IF(E34&gt;100000,"Топ",IF(E34&gt;50000,"Средний","Низкий"))</f>
        <v/>
      </c>
      <c r="G34" s="9">
        <f>E34/$E$43*100</f>
        <v/>
      </c>
      <c r="H34" s="2">
        <f>RANK(E34,$E$28:$E$42,0)</f>
        <v/>
      </c>
    </row>
    <row r="35">
      <c r="A35" s="2" t="n">
        <v>8</v>
      </c>
      <c r="B35" s="3" t="inlineStr">
        <is>
          <t>Внешний HDD</t>
        </is>
      </c>
      <c r="C35" s="8" t="n">
        <v>5500</v>
      </c>
      <c r="D35" s="4" t="n">
        <v>15</v>
      </c>
      <c r="E35" s="8">
        <f>C35*D35</f>
        <v/>
      </c>
      <c r="F35" s="2">
        <f>IF(E35&gt;100000,"Топ",IF(E35&gt;50000,"Средний","Низкий"))</f>
        <v/>
      </c>
      <c r="G35" s="9">
        <f>E35/$E$43*100</f>
        <v/>
      </c>
      <c r="H35" s="2">
        <f>RANK(E35,$E$28:$E$42,0)</f>
        <v/>
      </c>
    </row>
    <row r="36">
      <c r="A36" s="2" t="n">
        <v>9</v>
      </c>
      <c r="B36" s="3" t="inlineStr">
        <is>
          <t>Веб-камера</t>
        </is>
      </c>
      <c r="C36" s="8" t="n">
        <v>2800</v>
      </c>
      <c r="D36" s="4" t="n">
        <v>22</v>
      </c>
      <c r="E36" s="8">
        <f>C36*D36</f>
        <v/>
      </c>
      <c r="F36" s="2">
        <f>IF(E36&gt;100000,"Топ",IF(E36&gt;50000,"Средний","Низкий"))</f>
        <v/>
      </c>
      <c r="G36" s="9">
        <f>E36/$E$43*100</f>
        <v/>
      </c>
      <c r="H36" s="2">
        <f>RANK(E36,$E$28:$E$42,0)</f>
        <v/>
      </c>
    </row>
    <row r="37">
      <c r="A37" s="2" t="n">
        <v>10</v>
      </c>
      <c r="B37" s="3" t="inlineStr">
        <is>
          <t>Наушники</t>
        </is>
      </c>
      <c r="C37" s="8" t="n">
        <v>3200</v>
      </c>
      <c r="D37" s="4" t="n">
        <v>35</v>
      </c>
      <c r="E37" s="8">
        <f>C37*D37</f>
        <v/>
      </c>
      <c r="F37" s="2">
        <f>IF(E37&gt;100000,"Топ",IF(E37&gt;50000,"Средний","Низкий"))</f>
        <v/>
      </c>
      <c r="G37" s="9">
        <f>E37/$E$43*100</f>
        <v/>
      </c>
      <c r="H37" s="2">
        <f>RANK(E37,$E$28:$E$42,0)</f>
        <v/>
      </c>
    </row>
    <row r="38">
      <c r="A38" s="2" t="n">
        <v>11</v>
      </c>
      <c r="B38" s="3" t="inlineStr">
        <is>
          <t>Коврик для мыши</t>
        </is>
      </c>
      <c r="C38" s="8" t="n">
        <v>400</v>
      </c>
      <c r="D38" s="4" t="n">
        <v>90</v>
      </c>
      <c r="E38" s="8">
        <f>C38*D38</f>
        <v/>
      </c>
      <c r="F38" s="2">
        <f>IF(E38&gt;100000,"Топ",IF(E38&gt;50000,"Средний","Низкий"))</f>
        <v/>
      </c>
      <c r="G38" s="9">
        <f>E38/$E$43*100</f>
        <v/>
      </c>
      <c r="H38" s="2">
        <f>RANK(E38,$E$28:$E$42,0)</f>
        <v/>
      </c>
    </row>
    <row r="39">
      <c r="A39" s="2" t="n">
        <v>12</v>
      </c>
      <c r="B39" s="3" t="inlineStr">
        <is>
          <t>USB-хаб</t>
        </is>
      </c>
      <c r="C39" s="8" t="n">
        <v>1200</v>
      </c>
      <c r="D39" s="4" t="n">
        <v>40</v>
      </c>
      <c r="E39" s="8">
        <f>C39*D39</f>
        <v/>
      </c>
      <c r="F39" s="2">
        <f>IF(E39&gt;100000,"Топ",IF(E39&gt;50000,"Средний","Низкий"))</f>
        <v/>
      </c>
      <c r="G39" s="9">
        <f>E39/$E$43*100</f>
        <v/>
      </c>
      <c r="H39" s="2">
        <f>RANK(E39,$E$28:$E$42,0)</f>
        <v/>
      </c>
    </row>
    <row r="40">
      <c r="A40" s="2" t="n">
        <v>13</v>
      </c>
      <c r="B40" s="3" t="inlineStr">
        <is>
          <t>Картридж</t>
        </is>
      </c>
      <c r="C40" s="8" t="n">
        <v>2500</v>
      </c>
      <c r="D40" s="4" t="n">
        <v>18</v>
      </c>
      <c r="E40" s="8">
        <f>C40*D40</f>
        <v/>
      </c>
      <c r="F40" s="2">
        <f>IF(E40&gt;100000,"Топ",IF(E40&gt;50000,"Средний","Низкий"))</f>
        <v/>
      </c>
      <c r="G40" s="9">
        <f>E40/$E$43*100</f>
        <v/>
      </c>
      <c r="H40" s="2">
        <f>RANK(E40,$E$28:$E$42,0)</f>
        <v/>
      </c>
    </row>
    <row r="41">
      <c r="A41" s="2" t="n">
        <v>14</v>
      </c>
      <c r="B41" s="3" t="inlineStr">
        <is>
          <t>Бумага А4</t>
        </is>
      </c>
      <c r="C41" s="8" t="n">
        <v>350</v>
      </c>
      <c r="D41" s="4" t="n">
        <v>200</v>
      </c>
      <c r="E41" s="8">
        <f>C41*D41</f>
        <v/>
      </c>
      <c r="F41" s="2">
        <f>IF(E41&gt;100000,"Топ",IF(E41&gt;50000,"Средний","Низкий"))</f>
        <v/>
      </c>
      <c r="G41" s="9">
        <f>E41/$E$43*100</f>
        <v/>
      </c>
      <c r="H41" s="2">
        <f>RANK(E41,$E$28:$E$42,0)</f>
        <v/>
      </c>
    </row>
    <row r="42">
      <c r="A42" s="2" t="n">
        <v>15</v>
      </c>
      <c r="B42" s="3" t="inlineStr">
        <is>
          <t>Роутер</t>
        </is>
      </c>
      <c r="C42" s="8" t="n">
        <v>4500</v>
      </c>
      <c r="D42" s="4" t="n">
        <v>14</v>
      </c>
      <c r="E42" s="8">
        <f>C42*D42</f>
        <v/>
      </c>
      <c r="F42" s="2">
        <f>IF(E42&gt;100000,"Топ",IF(E42&gt;50000,"Средний","Низкий"))</f>
        <v/>
      </c>
      <c r="G42" s="9">
        <f>E42/$E$43*100</f>
        <v/>
      </c>
      <c r="H42" s="2">
        <f>RANK(E42,$E$28:$E$42,0)</f>
        <v/>
      </c>
    </row>
    <row r="43">
      <c r="D43" s="10" t="inlineStr">
        <is>
          <t>Итого:</t>
        </is>
      </c>
      <c r="E43" s="11">
        <f>SUM(E28:E42)</f>
        <v/>
      </c>
    </row>
    <row r="45">
      <c r="A45" s="5" t="inlineStr">
        <is>
          <t>Статистика по выручке</t>
        </is>
      </c>
    </row>
    <row r="46">
      <c r="A46" s="6" t="inlineStr">
        <is>
          <t>Сумма</t>
        </is>
      </c>
      <c r="B46" s="12">
        <f>SUM(E28:E42)</f>
        <v/>
      </c>
    </row>
    <row r="47">
      <c r="A47" s="6" t="inlineStr">
        <is>
          <t>Среднее</t>
        </is>
      </c>
      <c r="B47" s="12">
        <f>AVERAGE(E28:E42)</f>
        <v/>
      </c>
    </row>
    <row r="48">
      <c r="A48" s="6" t="inlineStr">
        <is>
          <t>Медиана</t>
        </is>
      </c>
      <c r="B48" s="12">
        <f>MEDIAN(E28:E42)</f>
        <v/>
      </c>
    </row>
    <row r="49">
      <c r="A49" s="6" t="inlineStr">
        <is>
          <t>Мода</t>
        </is>
      </c>
      <c r="B49" s="12">
        <f>MODE.SNGL(E28:E42)</f>
        <v/>
      </c>
    </row>
    <row r="50">
      <c r="A50" s="6" t="inlineStr">
        <is>
          <t>Минимум</t>
        </is>
      </c>
      <c r="B50" s="12">
        <f>MIN(E28:E42)</f>
        <v/>
      </c>
    </row>
    <row r="51">
      <c r="A51" s="6" t="inlineStr">
        <is>
          <t>Максимум</t>
        </is>
      </c>
      <c r="B51" s="12">
        <f>MAX(E28:E42)</f>
        <v/>
      </c>
    </row>
    <row r="52">
      <c r="A52" s="6" t="inlineStr">
        <is>
          <t>Стандартное отклонение</t>
        </is>
      </c>
      <c r="B52" s="12">
        <f>STDEV.S(E28:E42)</f>
        <v/>
      </c>
    </row>
    <row r="53">
      <c r="A53" s="6" t="inlineStr">
        <is>
          <t>Дисперсия</t>
        </is>
      </c>
      <c r="B53" s="12">
        <f>VAR.S(E28:E42)</f>
        <v/>
      </c>
    </row>
    <row r="54">
      <c r="A54" s="6" t="inlineStr">
        <is>
          <t>Количество товаров "Топ"</t>
        </is>
      </c>
      <c r="B54" s="12">
        <f>COUNTIF(F28:F42,"Топ")</f>
        <v/>
      </c>
    </row>
    <row r="55">
      <c r="A55" s="6" t="inlineStr">
        <is>
          <t>Сумма выручки "Топ"</t>
        </is>
      </c>
      <c r="B55" s="12">
        <f>SUMIF(F28:F42,"Топ",E28:E42)</f>
        <v/>
      </c>
    </row>
    <row r="56">
      <c r="A56" s="6" t="inlineStr">
        <is>
          <t>Средняя выручка "Средний"</t>
        </is>
      </c>
      <c r="B56" s="12">
        <f>AVERAGEIF(F28:F42,"Средний",E28:E42)</f>
        <v/>
      </c>
    </row>
    <row r="57">
      <c r="A57" s="6" t="inlineStr">
        <is>
          <t>Корреляция цена/продано</t>
        </is>
      </c>
      <c r="B57" s="13">
        <f>CORREL(C28:C42,D28:D42)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65" customWidth="1" min="2" max="2"/>
  </cols>
  <sheetData>
    <row r="1">
      <c r="A1" s="14" t="inlineStr">
        <is>
          <t>Элемент</t>
        </is>
      </c>
      <c r="B1" s="14" t="inlineStr">
        <is>
          <t>Формула / способ</t>
        </is>
      </c>
    </row>
    <row r="2">
      <c r="A2" s="6" t="inlineStr">
        <is>
          <t>Сумма баллов</t>
        </is>
      </c>
      <c r="B2" s="6">
        <f>SUM(C2:E2)</f>
        <v/>
      </c>
    </row>
    <row r="3">
      <c r="A3" s="6" t="inlineStr">
        <is>
          <t>Средний балл</t>
        </is>
      </c>
      <c r="B3" s="6">
        <f>AVERAGE(C2:E2)</f>
        <v/>
      </c>
    </row>
    <row r="4">
      <c r="A4" s="6" t="inlineStr">
        <is>
          <t>Оценка</t>
        </is>
      </c>
      <c r="B4" s="6">
        <f>IF(G2&gt;=90,5,IF(G2&gt;=75,4,IF(G2&gt;=60,3,2)))</f>
        <v/>
      </c>
    </row>
    <row r="5">
      <c r="A5" s="6" t="inlineStr">
        <is>
          <t>Ранг студента</t>
        </is>
      </c>
      <c r="B5" s="6">
        <f>RANK(F2,$F$2:$F$16,0)</f>
        <v/>
      </c>
    </row>
    <row r="6">
      <c r="A6" s="6" t="inlineStr">
        <is>
          <t>Выручка</t>
        </is>
      </c>
      <c r="B6" s="6">
        <f>C28*D28</f>
        <v/>
      </c>
    </row>
    <row r="7">
      <c r="A7" s="6" t="inlineStr">
        <is>
          <t>Категория</t>
        </is>
      </c>
      <c r="B7" s="6">
        <f>IF(E28&gt;100000,"Топ",IF(E28&gt;50000,"Средний","Низкий"))</f>
        <v/>
      </c>
    </row>
    <row r="8">
      <c r="A8" s="6" t="inlineStr">
        <is>
          <t>Доля выручки</t>
        </is>
      </c>
      <c r="B8" s="6">
        <f>E28/$E$43*100</f>
        <v/>
      </c>
    </row>
    <row r="9">
      <c r="A9" s="6" t="inlineStr">
        <is>
          <t>Ранг товара</t>
        </is>
      </c>
      <c r="B9" s="6">
        <f>RANK(E28,$E$28:$E$42,0)</f>
        <v/>
      </c>
    </row>
    <row r="10">
      <c r="A10" s="6" t="inlineStr">
        <is>
          <t>Корреляция</t>
        </is>
      </c>
      <c r="B10" s="6">
        <f>CORREL(C28:C42,D28:D42)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2026-09-29T08:23:28Z</dcterms:created>
  <dcterms:modified xmlns:dcterms="http://purl.org/dc/terms/" xmlns:xsi="http://www.w3.org/2001/XMLSchema-instance" xsi:type="dcterms:W3CDTF">2026-09-29T08:23:28Z</dcterms:modified>
</cp:coreProperties>
</file>