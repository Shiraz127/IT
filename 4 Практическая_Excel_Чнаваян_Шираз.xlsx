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f2871a4d1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рплата" sheetId="1" r:id="R4036ada5b2bf4870"/>
    <x:sheet xmlns:r="http://schemas.openxmlformats.org/officeDocument/2006/relationships" name="Товары" sheetId="2" r:id="R37acd5f7df23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#,##0.00&quot; ₽&quot;"/>
    <x:numFmt numFmtId="203" formatCode="0&quot;%&quot;"/>
    <x:numFmt numFmtId="204" formatCode="0"/>
  </x:numFmts>
  <x:fonts count="6">
    <x:font>
      <x:sz val="11"/>
      <x:name val="Carlito"/>
    </x:font>
    <x:font>
      <x:sz val="11"/>
      <x:color rgb="FF172B3A"/>
      <x:name val="Arial"/>
    </x:font>
    <x:font>
      <x:b/>
      <x:sz val="11"/>
      <x:color rgb="FF172B3A"/>
      <x:name val="Arial"/>
    </x:font>
    <x:font>
      <x:b/>
      <x:sz val="11"/>
      <x:color rgb="FFFFFFFF"/>
      <x:name val="Arial"/>
    </x:font>
    <x:font>
      <x:sz val="10"/>
      <x:color rgb="FF526175"/>
      <x:name val="Arial"/>
    </x:font>
    <x:font>
      <x:b/>
      <x:sz val="12"/>
      <x:color rgb="FF172B3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2F5F9"/>
      </x:patternFill>
    </x:fill>
    <x:fill>
      <x:patternFill patternType="solid">
        <x:fgColor rgb="FFFFF9E8"/>
      </x:patternFill>
    </x:fill>
    <x:fill>
      <x:patternFill patternType="solid">
        <x:fgColor rgb="FFF4F7F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17365D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202" fontId="2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4" fontId="1" fillId="7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01d2c558a417d" /><Relationship Type="http://schemas.openxmlformats.org/officeDocument/2006/relationships/theme" Target="/xl/theme/theme1.xml" Id="Re7de4df3a0b84dee" /><Relationship Type="http://schemas.openxmlformats.org/officeDocument/2006/relationships/sharedStrings" Target="/xl/sharedStrings.xml" Id="R19bfb78c04c242ff" /><Relationship Type="http://schemas.openxmlformats.org/officeDocument/2006/relationships/worksheet" Target="/xl/worksheets/sheet1.xml" Id="R4036ada5b2bf4870" /><Relationship Type="http://schemas.openxmlformats.org/officeDocument/2006/relationships/worksheet" Target="/xl/worksheets/sheet2.xml" Id="R37acd5f7df2343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9" hidden="0" customWidth="1"/>
    <x:col min="8" max="8" width="18" hidden="0" customWidth="1"/>
    <x:col min="9" max="9" width="18" hidden="0" customWidth="1"/>
    <x:col min="10" max="10" width="25" hidden="0" customWidth="1"/>
    <x:col min="11" max="11" width="25" hidden="0" customWidth="1"/>
  </x:cols>
  <x:sheetData>
    <x:row r="1" ht="44" customHeight="1">
      <x:c r="A1" s="21" t="str">
        <x:v>ФИО сотрудника</x:v>
      </x:c>
      <x:c r="B1" s="22" t="str">
        <x:v>Оклад (руб.)</x:v>
      </x:c>
      <x:c r="C1" s="22" t="str">
        <x:v>Премия (%)</x:v>
      </x:c>
      <x:c r="D1" s="22" t="str">
        <x:v>Премия (руб.)</x:v>
      </x:c>
      <x:c r="E1" s="22" t="str">
        <x:f>"НДФЛ ("&amp;H2*100&amp;"%)"</x:f>
        <x:v>НДФЛ (15%)</x:v>
      </x:c>
      <x:c r="F1" s="22" t="str">
        <x:v>К выдаче</x:v>
      </x:c>
      <x:c r="G1" s="23" t="str">
        <x:v>№ п/п</x:v>
      </x:c>
      <x:c r="H1" s="21" t="str">
        <x:v>Ставка НДФЛ</x:v>
      </x:c>
      <x:c r="I1" s="23" t="str">
        <x:v>Коэффициент</x:v>
      </x:c>
      <x:c r="J1" s="21" t="str">
        <x:v>Абсолютная ссылка</x:v>
      </x:c>
      <x:c r="K1" s="23" t="str">
        <x:v>Копия вправо</x:v>
      </x:c>
    </x:row>
    <x:row r="2" ht="28" customHeight="1">
      <x:c r="A2" s="2" t="str">
        <x:v>Иванов И.И.</x:v>
      </x:c>
      <x:c r="B2" s="33" t="n">
        <x:v>50000</x:v>
      </x:c>
      <x:c r="C2" s="34" t="n">
        <x:v>20</x:v>
      </x:c>
      <x:c r="D2" s="35" t="n">
        <x:f>B2*C2/100</x:f>
        <x:v>10000</x:v>
      </x:c>
      <x:c r="E2" s="35" t="n">
        <x:f>(B2+D2)*$H$2</x:f>
        <x:v>9000</x:v>
      </x:c>
      <x:c r="F2" s="35" t="n">
        <x:f>B2+D2-E2</x:f>
        <x:v>51000</x:v>
      </x:c>
      <x:c r="G2" s="36" t="n">
        <x:v>1</x:v>
      </x:c>
      <x:c r="H2" s="7" t="n">
        <x:v>0.15</x:v>
      </x:c>
      <x:c r="I2" s="8" t="n">
        <x:v>1.5</x:v>
      </x:c>
      <x:c r="J2" s="9" t="n">
        <x:f>B2*$I$2</x:f>
        <x:v>75000</x:v>
      </x:c>
      <x:c r="K2" s="9" t="n">
        <x:f>C2*$I$2</x:f>
        <x:v>30</x:v>
      </x:c>
    </x:row>
    <x:row r="3" ht="28" customHeight="1">
      <x:c r="A3" s="2" t="str">
        <x:v>Петров П.П.</x:v>
      </x:c>
      <x:c r="B3" s="33" t="n">
        <x:v>45000</x:v>
      </x:c>
      <x:c r="C3" s="34" t="n">
        <x:v>15</x:v>
      </x:c>
      <x:c r="D3" s="9" t="n">
        <x:f>B3*C3/100</x:f>
        <x:v>6750</x:v>
      </x:c>
      <x:c r="E3" s="9" t="n">
        <x:f>(B3+D3)*$H$2</x:f>
        <x:v>7762.5</x:v>
      </x:c>
      <x:c r="F3" s="9" t="n">
        <x:f>B3+D3-E3</x:f>
        <x:v>43987.5</x:v>
      </x:c>
      <x:c r="G3" s="12" t="n">
        <x:v>2</x:v>
      </x:c>
      <x:c r="H3" s="2"/>
      <x:c r="I3" s="2"/>
      <x:c r="J3" s="37" t="str">
        <x:v>=B2*$I$2</x:v>
      </x:c>
      <x:c r="K3" s="37" t="str">
        <x:v>=C2*$I$2</x:v>
      </x:c>
    </x:row>
    <x:row r="4" ht="28" customHeight="1">
      <x:c r="A4" s="2" t="str">
        <x:v>Сидоров С.С.</x:v>
      </x:c>
      <x:c r="B4" s="33" t="n">
        <x:v>62000</x:v>
      </x:c>
      <x:c r="C4" s="34" t="n">
        <x:v>25</x:v>
      </x:c>
      <x:c r="D4" s="35" t="n">
        <x:f>B4*C4/100</x:f>
        <x:v>15500</x:v>
      </x:c>
      <x:c r="E4" s="35" t="n">
        <x:f>(B4+D4)*$H$2</x:f>
        <x:v>11625</x:v>
      </x:c>
      <x:c r="F4" s="35" t="n">
        <x:f>B4+D4-E4</x:f>
        <x:v>65875</x:v>
      </x:c>
      <x:c r="G4" s="36" t="n">
        <x:v>3</x:v>
      </x:c>
      <x:c r="H4" s="2"/>
      <x:c r="I4" s="2"/>
      <x:c r="J4" s="2"/>
      <x:c r="K4" s="2"/>
    </x:row>
    <x:row r="5" ht="44" customHeight="1">
      <x:c r="A5" s="2" t="str">
        <x:v>Кузнецова К.К.</x:v>
      </x:c>
      <x:c r="B5" s="33" t="n">
        <x:v>55000</x:v>
      </x:c>
      <x:c r="C5" s="34" t="n">
        <x:v>10</x:v>
      </x:c>
      <x:c r="D5" s="9" t="n">
        <x:f>B5*C5/100</x:f>
        <x:v>5500</x:v>
      </x:c>
      <x:c r="E5" s="9" t="n">
        <x:f>(B5+D5)*$H$2</x:f>
        <x:v>9075</x:v>
      </x:c>
      <x:c r="F5" s="9" t="n">
        <x:f>B5+D5-E5</x:f>
        <x:v>51425</x:v>
      </x:c>
      <x:c r="G5" s="12" t="n">
        <x:v>4</x:v>
      </x:c>
      <x:c r="H5" s="2"/>
      <x:c r="I5" s="2"/>
      <x:c r="J5" s="21" t="str">
        <x:v>Смешанная ссылка</x:v>
      </x:c>
      <x:c r="K5" s="23" t="str">
        <x:v>Копия вправо</x:v>
      </x:c>
    </x:row>
    <x:row r="6" ht="28" customHeight="1">
      <x:c r="A6" s="2" t="str">
        <x:v>Смирнов С.С.</x:v>
      </x:c>
      <x:c r="B6" s="33" t="n">
        <x:v>40000</x:v>
      </x:c>
      <x:c r="C6" s="34" t="n">
        <x:v>30</x:v>
      </x:c>
      <x:c r="D6" s="35" t="n">
        <x:f>B6*C6/100</x:f>
        <x:v>12000</x:v>
      </x:c>
      <x:c r="E6" s="35" t="n">
        <x:f>(B6+D6)*$H$2</x:f>
        <x:v>7800</x:v>
      </x:c>
      <x:c r="F6" s="35" t="n">
        <x:f>B6+D6-E6</x:f>
        <x:v>44200</x:v>
      </x:c>
      <x:c r="G6" s="36" t="n">
        <x:v>5</x:v>
      </x:c>
      <x:c r="H6" s="2"/>
      <x:c r="I6" s="2"/>
      <x:c r="J6" s="9" t="n">
        <x:f>B2*I$2</x:f>
        <x:v>75000</x:v>
      </x:c>
      <x:c r="K6" s="9" t="n">
        <x:f>C2*J$2</x:f>
        <x:v>1500000</x:v>
      </x:c>
    </x:row>
    <x:row r="7" ht="32" customHeight="1">
      <x:c r="A7" s="28" t="str">
        <x:v>ИТОГО:</x:v>
      </x:c>
      <x:c r="B7" s="29" t="n">
        <x:f>SUM(B2:B6)</x:f>
        <x:v>252000</x:v>
      </x:c>
      <x:c r="C7" s="28"/>
      <x:c r="D7" s="29" t="n">
        <x:f>SUM(D2:D6)</x:f>
        <x:v>49750</x:v>
      </x:c>
      <x:c r="E7" s="29" t="n">
        <x:f>SUM(E2:E6)</x:f>
        <x:v>45262.5</x:v>
      </x:c>
      <x:c r="F7" s="29" t="n">
        <x:f>SUM(F2:F6)</x:f>
        <x:v>256487.5</x:v>
      </x:c>
      <x:c r="G7" s="28"/>
      <x:c r="H7" s="2"/>
      <x:c r="I7" s="2"/>
      <x:c r="J7" s="37" t="str">
        <x:v>=B2*I$2</x:v>
      </x:c>
      <x:c r="K7" s="37" t="str">
        <x:v>=C2*J$2</x:v>
      </x:c>
    </x:row>
    <x:row r="8" ht="2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44" customHeight="1">
      <x:c r="A9" s="32" t="str">
        <x:v>Средняя зарплата:</x:v>
      </x:c>
      <x:c r="B9" s="31" t="n">
        <x:f>AVERAGE(F2:F6)</x:f>
        <x:v>51297.5</x:v>
      </x:c>
      <x:c r="C9" s="2"/>
      <x:c r="D9" s="2"/>
      <x:c r="E9" s="2"/>
      <x:c r="F9" s="2"/>
      <x:c r="G9" s="2"/>
      <x:c r="H9" s="2"/>
      <x:c r="I9" s="2"/>
      <x:c r="J9" s="21" t="str">
        <x:v>Закреплён и оклад</x:v>
      </x:c>
      <x:c r="K9" s="23" t="str">
        <x:v>Копия вправо</x:v>
      </x:c>
    </x:row>
    <x:row r="10" ht="28" customHeight="1">
      <x:c r="A10" s="32" t="str">
        <x:v>Максимум:</x:v>
      </x:c>
      <x:c r="B10" s="31" t="n">
        <x:f>MAX(F2:F6)</x:f>
        <x:v>65875</x:v>
      </x:c>
      <x:c r="C10" s="2"/>
      <x:c r="D10" s="2"/>
      <x:c r="E10" s="2"/>
      <x:c r="F10" s="2"/>
      <x:c r="G10" s="2"/>
      <x:c r="H10" s="2"/>
      <x:c r="I10" s="2"/>
      <x:c r="J10" s="9" t="n">
        <x:f>$B2*$I$2</x:f>
        <x:v>75000</x:v>
      </x:c>
      <x:c r="K10" s="9" t="n">
        <x:f>$B2*$I$2</x:f>
        <x:v>75000</x:v>
      </x:c>
    </x:row>
    <x:row r="11" ht="28" customHeight="1">
      <x:c r="A11" s="32" t="str">
        <x:v>Минимум:</x:v>
      </x:c>
      <x:c r="B11" s="31" t="n">
        <x:f>MIN(F2:F6)</x:f>
        <x:v>43987.5</x:v>
      </x:c>
      <x:c r="C11" s="2"/>
      <x:c r="D11" s="2"/>
      <x:c r="E11" s="2"/>
      <x:c r="F11" s="2"/>
      <x:c r="G11" s="2"/>
      <x:c r="H11" s="2"/>
      <x:c r="I11" s="2"/>
      <x:c r="J11" s="37" t="str">
        <x:v>=$B2*$I$2</x:v>
      </x:c>
      <x:c r="K11" s="37" t="str">
        <x:v>=$B2*$I$2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8" customHeight="1">
      <x:c r="A13" s="38" t="str">
        <x:v>Пояснения к учебному расчёту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8" customHeight="1">
      <x:c r="A14" s="39" t="str">
        <x:v>Ставка в H2 изменена с 13% на 15% по заданию; все суммы НДФЛ ссылаются на $H$2.</x:v>
      </x:c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 ht="28" customHeight="1">
      <x:c r="A15" s="39" t="str">
        <x:v>Оклад Сидорова в B4 изменён с 60 000 на 62 000 руб.; строка Кузнецовой сохранена.</x:v>
      </x:c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 ht="28" customHeight="1">
      <x:c r="A16" s="39" t="str">
        <x:v>При копировании вправо B2 становится C2. Поэтому результат K2 отличается от J2.</x:v>
      </x:c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 ht="28" customHeight="1">
      <x:c r="A17" s="39" t="str">
        <x:v>В K6 ссылка I$2 стала J$2: используется результат J2. Для одинаковых сумм смотрите J10:K10.</x:v>
      </x:c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 ht="28" customHeight="1">
      <x:c r="A18" s="39" t="str">
        <x:v>Источник: фотографии задания. Ставка НДФЛ используется как учебный параметр.</x:v>
      </x:c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26A91"/>
  </x:sheetPr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2" hidden="0" customWidth="1"/>
    <x:col min="4" max="4" width="16" hidden="0" customWidth="1"/>
    <x:col min="5" max="5" width="24" hidden="0" customWidth="1"/>
    <x:col min="6" max="6" width="29" hidden="0" customWidth="1"/>
  </x:cols>
  <x:sheetData>
    <x:row r="1" ht="44" customHeight="1">
      <x:c r="A1" s="21" t="str">
        <x:v>Товар</x:v>
      </x:c>
      <x:c r="B1" s="22" t="str">
        <x:v>Цена за ед. (руб.)</x:v>
      </x:c>
      <x:c r="C1" s="22" t="str">
        <x:v>Кол-во</x:v>
      </x:c>
      <x:c r="D1" s="22" t="str">
        <x:v>Скидка (%)</x:v>
      </x:c>
      <x:c r="E1" s="22" t="str">
        <x:v>Стоимость (руб.)</x:v>
      </x:c>
      <x:c r="F1" s="23" t="str">
        <x:v>Итого со скидкой (руб.)</x:v>
      </x:c>
    </x:row>
    <x:row r="2" ht="28" customHeight="1">
      <x:c r="A2" s="2" t="str">
        <x:v>Ноутбук</x:v>
      </x:c>
      <x:c r="B2" s="33" t="n">
        <x:v>45000</x:v>
      </x:c>
      <x:c r="C2" s="41" t="n">
        <x:v>5</x:v>
      </x:c>
      <x:c r="D2" s="34" t="n">
        <x:v>5</x:v>
      </x:c>
      <x:c r="E2" s="9" t="n">
        <x:f>B2*C2</x:f>
        <x:v>225000</x:v>
      </x:c>
      <x:c r="F2" s="9" t="n">
        <x:f>E2*(1-D2/100)</x:f>
        <x:v>213750</x:v>
      </x:c>
    </x:row>
    <x:row r="3" ht="28" customHeight="1">
      <x:c r="A3" s="2" t="str">
        <x:v>Монитор</x:v>
      </x:c>
      <x:c r="B3" s="33" t="n">
        <x:v>18000</x:v>
      </x:c>
      <x:c r="C3" s="41" t="n">
        <x:v>10</x:v>
      </x:c>
      <x:c r="D3" s="34" t="n">
        <x:v>3</x:v>
      </x:c>
      <x:c r="E3" s="9" t="n">
        <x:f>B3*C3</x:f>
        <x:v>180000</x:v>
      </x:c>
      <x:c r="F3" s="9" t="n">
        <x:f>E3*(1-D3/100)</x:f>
        <x:v>174600</x:v>
      </x:c>
    </x:row>
    <x:row r="4" ht="28" customHeight="1">
      <x:c r="A4" s="2" t="str">
        <x:v>Клавиатура</x:v>
      </x:c>
      <x:c r="B4" s="33" t="n">
        <x:v>1500</x:v>
      </x:c>
      <x:c r="C4" s="41" t="n">
        <x:v>25</x:v>
      </x:c>
      <x:c r="D4" s="34" t="n">
        <x:v>10</x:v>
      </x:c>
      <x:c r="E4" s="9" t="n">
        <x:f>B4*C4</x:f>
        <x:v>37500</x:v>
      </x:c>
      <x:c r="F4" s="9" t="n">
        <x:f>E4*(1-D4/100)</x:f>
        <x:v>33750</x:v>
      </x:c>
    </x:row>
    <x:row r="5" ht="28" customHeight="1">
      <x:c r="A5" s="2" t="str">
        <x:v>Мышь</x:v>
      </x:c>
      <x:c r="B5" s="33" t="n">
        <x:v>800</x:v>
      </x:c>
      <x:c r="C5" s="41" t="n">
        <x:v>30</x:v>
      </x:c>
      <x:c r="D5" s="34" t="n">
        <x:v>7</x:v>
      </x:c>
      <x:c r="E5" s="9" t="n">
        <x:f>B5*C5</x:f>
        <x:v>24000</x:v>
      </x:c>
      <x:c r="F5" s="9" t="n">
        <x:f>E5*(1-D5/100)</x:f>
        <x:v>22320</x:v>
      </x:c>
    </x:row>
    <x:row r="6" ht="32" customHeight="1">
      <x:c r="A6" s="28" t="str">
        <x:v>ИТОГО:</x:v>
      </x:c>
      <x:c r="B6" s="28"/>
      <x:c r="C6" s="28"/>
      <x:c r="D6" s="28"/>
      <x:c r="E6" s="29" t="n">
        <x:f>SUM(E2:E5)</x:f>
        <x:v>466500</x:v>
      </x:c>
      <x:c r="F6" s="29" t="n">
        <x:f>SUM(F2:F5)</x:f>
        <x:v>444420</x:v>
      </x:c>
    </x:row>
    <x:row r="7" ht="28" customHeight="1">
      <x:c r="A7" s="2"/>
      <x:c r="B7" s="2"/>
      <x:c r="C7" s="2"/>
      <x:c r="D7" s="2"/>
      <x:c r="E7" s="2"/>
      <x:c r="F7" s="2"/>
    </x:row>
    <x:row r="8" ht="28" customHeight="1">
      <x:c r="A8" s="37" t="str">
        <x:v>Стоимость = цена × количество. Итог со скидкой = стоимость × (1 − скидка / 100).</x:v>
      </x:c>
      <x:c r="B8" s="37"/>
      <x:c r="C8" s="37"/>
      <x:c r="D8" s="37"/>
      <x:c r="E8" s="37"/>
      <x:c r="F8" s="37"/>
    </x:row>
    <x:row r="9" ht="28" customHeight="1">
      <x:c r="A9" s="37" t="str">
        <x:v>Источник: таблица «Товары» на последнем фото задания.</x:v>
      </x:c>
      <x:c r="B9" s="37"/>
      <x:c r="C9" s="37"/>
      <x:c r="D9" s="37"/>
      <x:c r="E9" s="37"/>
      <x:c r="F9" s="37"/>
    </x:row>
    <x:row r="10" ht="28" customHeight="1">
      <x:c r="A10" s="2"/>
      <x:c r="B10" s="2"/>
      <x:c r="C10" s="2"/>
      <x:c r="D10" s="2"/>
      <x:c r="E10" s="2"/>
      <x:c r="F10" s="2"/>
    </x:row>
  </x:sheetData>
  <x:pageMargins left="0.7" right="0.7" top="0.75" bottom="0.75" header="0.3" footer="0.3"/>
</x:worksheet>
</file>